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ategor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53B66"/>
      <sz val="18"/>
    </font>
    <font>
      <color rgb="00666666"/>
      <sz val="9"/>
    </font>
    <font>
      <b val="1"/>
      <color rgb="00FFFFFF"/>
      <sz val="11"/>
    </font>
    <font>
      <b val="1"/>
      <color rgb="00153B66"/>
      <sz val="14"/>
    </font>
  </fonts>
  <fills count="5">
    <fill>
      <patternFill/>
    </fill>
    <fill>
      <patternFill patternType="gray125"/>
    </fill>
    <fill>
      <patternFill patternType="solid">
        <fgColor rgb="00153B66"/>
      </patternFill>
    </fill>
    <fill>
      <patternFill patternType="solid">
        <fgColor rgb="00EEF5FB"/>
      </patternFill>
    </fill>
    <fill>
      <patternFill patternType="solid">
        <fgColor rgb="002A9D8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0" fontId="4" fillId="4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'Category_Summary'!$A$2:$A$7</f>
            </numRef>
          </cat>
          <val>
            <numRef>
              <f>'Category_Summary'!$B$2:$B$7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Inventory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Days of Stock</a:t>
            </a:r>
          </a:p>
        </rich>
      </tx>
    </title>
    <plotArea>
      <lineChart>
        <grouping val="standard"/>
        <ser>
          <idx val="0"/>
          <order val="0"/>
          <tx>
            <strRef>
              <f>'Category_Summary'!C1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'Category_Summary'!$A$2:$A$7</f>
            </numRef>
          </cat>
          <val>
            <numRef>
              <f>'Category_Summary'!$C$2:$C$7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22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ventoryTable" displayName="InventoryTable" ref="A1:L61" headerRowCount="1">
  <autoFilter ref="A1:L61"/>
  <tableColumns count="12">
    <tableColumn id="1" name="SKU"/>
    <tableColumn id="2" name="Item Name"/>
    <tableColumn id="3" name="Category"/>
    <tableColumn id="4" name="Supplier"/>
    <tableColumn id="5" name="Unit Cost"/>
    <tableColumn id="6" name="Quantity On Hand"/>
    <tableColumn id="7" name="Reorder Point"/>
    <tableColumn id="8" name="Monthly Usage"/>
    <tableColumn id="9" name="Lead Time (Days)"/>
    <tableColumn id="10" name="Inventory Value"/>
    <tableColumn id="11" name="Reorder Flag"/>
    <tableColumn id="12" name="Est. Days of Stoc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4" customWidth="1" min="5" max="5"/>
    <col width="15" customWidth="1" min="7" max="7"/>
    <col width="15" customWidth="1" min="8" max="8"/>
  </cols>
  <sheetData>
    <row r="1">
      <c r="A1" s="1" t="inlineStr">
        <is>
          <t>Inventory Analytics Dashboard</t>
        </is>
      </c>
    </row>
    <row r="2">
      <c r="A2" s="2" t="inlineStr">
        <is>
          <t>Project portfolio sample for a Data &amp; AI internship</t>
        </is>
      </c>
    </row>
    <row r="4">
      <c r="A4" s="3" t="inlineStr">
        <is>
          <t>Total SKUs</t>
        </is>
      </c>
      <c r="C4" s="3" t="inlineStr">
        <is>
          <t>Inventory Value</t>
        </is>
      </c>
      <c r="E4" s="3" t="inlineStr">
        <is>
          <t>Items to Reorder</t>
        </is>
      </c>
      <c r="G4" s="3" t="inlineStr">
        <is>
          <t>Avg Days of Stock</t>
        </is>
      </c>
    </row>
    <row r="5">
      <c r="A5" s="4">
        <f>COUNTA(Raw_Data!A:A)-1</f>
        <v/>
      </c>
      <c r="C5" s="5">
        <f>SUM(Raw_Data!J:J)</f>
        <v/>
      </c>
      <c r="E5" s="4">
        <f>COUNTIF(Raw_Data!K:K,"REORDER")</f>
        <v/>
      </c>
      <c r="G5" s="4">
        <f>AVERAGE(Raw_Data!L:L)</f>
        <v/>
      </c>
    </row>
    <row r="8">
      <c r="A8" s="6" t="inlineStr">
        <is>
          <t>Top Reorder Candidates</t>
        </is>
      </c>
    </row>
    <row r="9">
      <c r="A9" s="7" t="inlineStr">
        <is>
          <t>SKU</t>
        </is>
      </c>
      <c r="B9" s="8" t="inlineStr">
        <is>
          <t>Item Name</t>
        </is>
      </c>
      <c r="C9" s="7" t="inlineStr">
        <is>
          <t>Qty On Hand</t>
        </is>
      </c>
      <c r="D9" s="7" t="inlineStr">
        <is>
          <t>Reorder Point</t>
        </is>
      </c>
      <c r="E9" s="7" t="inlineStr">
        <is>
          <t>Monthly Usage</t>
        </is>
      </c>
    </row>
    <row r="10">
      <c r="A10" s="9" t="inlineStr">
        <is>
          <t>SKU-1005</t>
        </is>
      </c>
      <c r="B10" s="10" t="inlineStr">
        <is>
          <t>Controller Item 5</t>
        </is>
      </c>
      <c r="C10" s="9" t="n">
        <v>9</v>
      </c>
      <c r="D10" s="9" t="n">
        <v>63</v>
      </c>
      <c r="E10" s="9" t="n">
        <v>16</v>
      </c>
    </row>
    <row r="11">
      <c r="A11" s="9" t="inlineStr">
        <is>
          <t>SKU-1033</t>
        </is>
      </c>
      <c r="B11" s="10" t="inlineStr">
        <is>
          <t>Networking Item 33</t>
        </is>
      </c>
      <c r="C11" s="9" t="n">
        <v>16</v>
      </c>
      <c r="D11" s="9" t="n">
        <v>70</v>
      </c>
      <c r="E11" s="9" t="n">
        <v>27</v>
      </c>
    </row>
    <row r="12">
      <c r="A12" s="9" t="inlineStr">
        <is>
          <t>SKU-1010</t>
        </is>
      </c>
      <c r="B12" s="10" t="inlineStr">
        <is>
          <t>Cable Item 10</t>
        </is>
      </c>
      <c r="C12" s="9" t="n">
        <v>28</v>
      </c>
      <c r="D12" s="9" t="n">
        <v>69</v>
      </c>
      <c r="E12" s="9" t="n">
        <v>20</v>
      </c>
    </row>
    <row r="13">
      <c r="A13" s="9" t="inlineStr">
        <is>
          <t>SKU-1052</t>
        </is>
      </c>
      <c r="B13" s="10" t="inlineStr">
        <is>
          <t>Power Supplie Item 52</t>
        </is>
      </c>
      <c r="C13" s="9" t="n">
        <v>26</v>
      </c>
      <c r="D13" s="9" t="n">
        <v>49</v>
      </c>
      <c r="E13" s="9" t="n">
        <v>19</v>
      </c>
    </row>
    <row r="14">
      <c r="A14" s="9" t="inlineStr">
        <is>
          <t>SKU-1021</t>
        </is>
      </c>
      <c r="B14" s="10" t="inlineStr">
        <is>
          <t>Power Supplie Item 21</t>
        </is>
      </c>
      <c r="C14" s="9" t="n">
        <v>37</v>
      </c>
      <c r="D14" s="9" t="n">
        <v>58</v>
      </c>
      <c r="E14" s="9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0" customWidth="1" min="4" max="4"/>
    <col width="11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  <col width="12" customWidth="1" min="11" max="11"/>
    <col width="15" customWidth="1" min="12" max="12"/>
  </cols>
  <sheetData>
    <row r="1">
      <c r="A1" s="11" t="inlineStr">
        <is>
          <t>SKU</t>
        </is>
      </c>
      <c r="B1" s="11" t="inlineStr">
        <is>
          <t>Item Name</t>
        </is>
      </c>
      <c r="C1" s="11" t="inlineStr">
        <is>
          <t>Category</t>
        </is>
      </c>
      <c r="D1" s="11" t="inlineStr">
        <is>
          <t>Supplier</t>
        </is>
      </c>
      <c r="E1" s="11" t="inlineStr">
        <is>
          <t>Unit Cost</t>
        </is>
      </c>
      <c r="F1" s="11" t="inlineStr">
        <is>
          <t>Quantity On Hand</t>
        </is>
      </c>
      <c r="G1" s="11" t="inlineStr">
        <is>
          <t>Reorder Point</t>
        </is>
      </c>
      <c r="H1" s="11" t="inlineStr">
        <is>
          <t>Monthly Usage</t>
        </is>
      </c>
      <c r="I1" s="11" t="inlineStr">
        <is>
          <t>Lead Time (Days)</t>
        </is>
      </c>
      <c r="J1" s="11" t="inlineStr">
        <is>
          <t>Inventory Value</t>
        </is>
      </c>
      <c r="K1" s="11" t="inlineStr">
        <is>
          <t>Reorder Flag</t>
        </is>
      </c>
      <c r="L1" s="11" t="inlineStr">
        <is>
          <t>Est. Days of Stock</t>
        </is>
      </c>
    </row>
    <row r="2">
      <c r="A2" t="inlineStr">
        <is>
          <t>SKU-1001</t>
        </is>
      </c>
      <c r="B2" t="inlineStr">
        <is>
          <t>Networking Item 1</t>
        </is>
      </c>
      <c r="C2" t="inlineStr">
        <is>
          <t>Networking</t>
        </is>
      </c>
      <c r="D2" t="inlineStr">
        <is>
          <t>NovaTech</t>
        </is>
      </c>
      <c r="E2" s="12" t="n">
        <v>8.4</v>
      </c>
      <c r="F2" s="13" t="n">
        <v>78</v>
      </c>
      <c r="G2" s="13" t="n">
        <v>30</v>
      </c>
      <c r="H2" s="13" t="n">
        <v>20</v>
      </c>
      <c r="I2" s="13" t="n">
        <v>7</v>
      </c>
      <c r="J2" s="12">
        <f>E2*F2</f>
        <v/>
      </c>
      <c r="K2">
        <f>IF(F2&lt;=G2,"REORDER","OK")</f>
        <v/>
      </c>
      <c r="L2" s="13">
        <f>ROUND(F2/MAX(H2,1)*30,0)</f>
        <v/>
      </c>
    </row>
    <row r="3">
      <c r="A3" t="inlineStr">
        <is>
          <t>SKU-1002</t>
        </is>
      </c>
      <c r="B3" t="inlineStr">
        <is>
          <t>Networking Item 2</t>
        </is>
      </c>
      <c r="C3" t="inlineStr">
        <is>
          <t>Networking</t>
        </is>
      </c>
      <c r="D3" t="inlineStr">
        <is>
          <t>NovaTech</t>
        </is>
      </c>
      <c r="E3" s="12" t="n">
        <v>123.1</v>
      </c>
      <c r="F3" s="13" t="n">
        <v>147</v>
      </c>
      <c r="G3" s="13" t="n">
        <v>20</v>
      </c>
      <c r="H3" s="13" t="n">
        <v>43</v>
      </c>
      <c r="I3" s="13" t="n">
        <v>16</v>
      </c>
      <c r="J3" s="12">
        <f>E3*F3</f>
        <v/>
      </c>
      <c r="K3">
        <f>IF(F3&lt;=G3,"REORDER","OK")</f>
        <v/>
      </c>
      <c r="L3" s="13">
        <f>ROUND(F3/MAX(H3,1)*30,0)</f>
        <v/>
      </c>
    </row>
    <row r="4">
      <c r="A4" t="inlineStr">
        <is>
          <t>SKU-1003</t>
        </is>
      </c>
      <c r="B4" t="inlineStr">
        <is>
          <t>Cable Item 3</t>
        </is>
      </c>
      <c r="C4" t="inlineStr">
        <is>
          <t>Cables</t>
        </is>
      </c>
      <c r="D4" t="inlineStr">
        <is>
          <t>NovaTech</t>
        </is>
      </c>
      <c r="E4" s="12" t="n">
        <v>20.49</v>
      </c>
      <c r="F4" s="13" t="n">
        <v>67</v>
      </c>
      <c r="G4" s="13" t="n">
        <v>47</v>
      </c>
      <c r="H4" s="13" t="n">
        <v>44</v>
      </c>
      <c r="I4" s="13" t="n">
        <v>3</v>
      </c>
      <c r="J4" s="12">
        <f>E4*F4</f>
        <v/>
      </c>
      <c r="K4">
        <f>IF(F4&lt;=G4,"REORDER","OK")</f>
        <v/>
      </c>
      <c r="L4" s="13">
        <f>ROUND(F4/MAX(H4,1)*30,0)</f>
        <v/>
      </c>
    </row>
    <row r="5">
      <c r="A5" t="inlineStr">
        <is>
          <t>SKU-1004</t>
        </is>
      </c>
      <c r="B5" t="inlineStr">
        <is>
          <t>Power Supplie Item 4</t>
        </is>
      </c>
      <c r="C5" t="inlineStr">
        <is>
          <t>Power Supplies</t>
        </is>
      </c>
      <c r="D5" t="inlineStr">
        <is>
          <t>Blue Ridge Parts</t>
        </is>
      </c>
      <c r="E5" s="12" t="n">
        <v>130.02</v>
      </c>
      <c r="F5" s="13" t="n">
        <v>187</v>
      </c>
      <c r="G5" s="13" t="n">
        <v>49</v>
      </c>
      <c r="H5" s="13" t="n">
        <v>32</v>
      </c>
      <c r="I5" s="13" t="n">
        <v>10</v>
      </c>
      <c r="J5" s="12">
        <f>E5*F5</f>
        <v/>
      </c>
      <c r="K5">
        <f>IF(F5&lt;=G5,"REORDER","OK")</f>
        <v/>
      </c>
      <c r="L5" s="13">
        <f>ROUND(F5/MAX(H5,1)*30,0)</f>
        <v/>
      </c>
    </row>
    <row r="6">
      <c r="A6" t="inlineStr">
        <is>
          <t>SKU-1005</t>
        </is>
      </c>
      <c r="B6" t="inlineStr">
        <is>
          <t>Controller Item 5</t>
        </is>
      </c>
      <c r="C6" t="inlineStr">
        <is>
          <t>Controllers</t>
        </is>
      </c>
      <c r="D6" t="inlineStr">
        <is>
          <t>Peak Systems</t>
        </is>
      </c>
      <c r="E6" s="12" t="n">
        <v>52.96</v>
      </c>
      <c r="F6" s="13" t="n">
        <v>9</v>
      </c>
      <c r="G6" s="13" t="n">
        <v>63</v>
      </c>
      <c r="H6" s="13" t="n">
        <v>16</v>
      </c>
      <c r="I6" s="13" t="n">
        <v>16</v>
      </c>
      <c r="J6" s="12">
        <f>E6*F6</f>
        <v/>
      </c>
      <c r="K6">
        <f>IF(F6&lt;=G6,"REORDER","OK")</f>
        <v/>
      </c>
      <c r="L6" s="13">
        <f>ROUND(F6/MAX(H6,1)*30,0)</f>
        <v/>
      </c>
    </row>
    <row r="7">
      <c r="A7" t="inlineStr">
        <is>
          <t>SKU-1006</t>
        </is>
      </c>
      <c r="B7" t="inlineStr">
        <is>
          <t>Sensor Item 6</t>
        </is>
      </c>
      <c r="C7" t="inlineStr">
        <is>
          <t>Sensors</t>
        </is>
      </c>
      <c r="D7" t="inlineStr">
        <is>
          <t>DataCore Supply</t>
        </is>
      </c>
      <c r="E7" s="12" t="n">
        <v>31.36</v>
      </c>
      <c r="F7" s="13" t="n">
        <v>203</v>
      </c>
      <c r="G7" s="13" t="n">
        <v>36</v>
      </c>
      <c r="H7" s="13" t="n">
        <v>12</v>
      </c>
      <c r="I7" s="13" t="n">
        <v>5</v>
      </c>
      <c r="J7" s="12">
        <f>E7*F7</f>
        <v/>
      </c>
      <c r="K7">
        <f>IF(F7&lt;=G7,"REORDER","OK")</f>
        <v/>
      </c>
      <c r="L7" s="13">
        <f>ROUND(F7/MAX(H7,1)*30,0)</f>
        <v/>
      </c>
    </row>
    <row r="8">
      <c r="A8" t="inlineStr">
        <is>
          <t>SKU-1007</t>
        </is>
      </c>
      <c r="B8" t="inlineStr">
        <is>
          <t>Controller Item 7</t>
        </is>
      </c>
      <c r="C8" t="inlineStr">
        <is>
          <t>Controllers</t>
        </is>
      </c>
      <c r="D8" t="inlineStr">
        <is>
          <t>NovaTech</t>
        </is>
      </c>
      <c r="E8" s="12" t="n">
        <v>67.18000000000001</v>
      </c>
      <c r="F8" s="13" t="n">
        <v>96</v>
      </c>
      <c r="G8" s="13" t="n">
        <v>53</v>
      </c>
      <c r="H8" s="13" t="n">
        <v>22</v>
      </c>
      <c r="I8" s="13" t="n">
        <v>4</v>
      </c>
      <c r="J8" s="12">
        <f>E8*F8</f>
        <v/>
      </c>
      <c r="K8">
        <f>IF(F8&lt;=G8,"REORDER","OK")</f>
        <v/>
      </c>
      <c r="L8" s="13">
        <f>ROUND(F8/MAX(H8,1)*30,0)</f>
        <v/>
      </c>
    </row>
    <row r="9">
      <c r="A9" t="inlineStr">
        <is>
          <t>SKU-1008</t>
        </is>
      </c>
      <c r="B9" t="inlineStr">
        <is>
          <t>Networking Item 8</t>
        </is>
      </c>
      <c r="C9" t="inlineStr">
        <is>
          <t>Networking</t>
        </is>
      </c>
      <c r="D9" t="inlineStr">
        <is>
          <t>Omni Industrial</t>
        </is>
      </c>
      <c r="E9" s="12" t="n">
        <v>98.38</v>
      </c>
      <c r="F9" s="13" t="n">
        <v>104</v>
      </c>
      <c r="G9" s="13" t="n">
        <v>20</v>
      </c>
      <c r="H9" s="13" t="n">
        <v>41</v>
      </c>
      <c r="I9" s="13" t="n">
        <v>12</v>
      </c>
      <c r="J9" s="12">
        <f>E9*F9</f>
        <v/>
      </c>
      <c r="K9">
        <f>IF(F9&lt;=G9,"REORDER","OK")</f>
        <v/>
      </c>
      <c r="L9" s="13">
        <f>ROUND(F9/MAX(H9,1)*30,0)</f>
        <v/>
      </c>
    </row>
    <row r="10">
      <c r="A10" t="inlineStr">
        <is>
          <t>SKU-1009</t>
        </is>
      </c>
      <c r="B10" t="inlineStr">
        <is>
          <t>Networking Item 9</t>
        </is>
      </c>
      <c r="C10" t="inlineStr">
        <is>
          <t>Networking</t>
        </is>
      </c>
      <c r="D10" t="inlineStr">
        <is>
          <t>Peak Systems</t>
        </is>
      </c>
      <c r="E10" s="12" t="n">
        <v>159.84</v>
      </c>
      <c r="F10" s="13" t="n">
        <v>100</v>
      </c>
      <c r="G10" s="13" t="n">
        <v>51</v>
      </c>
      <c r="H10" s="13" t="n">
        <v>18</v>
      </c>
      <c r="I10" s="13" t="n">
        <v>5</v>
      </c>
      <c r="J10" s="12">
        <f>E10*F10</f>
        <v/>
      </c>
      <c r="K10">
        <f>IF(F10&lt;=G10,"REORDER","OK")</f>
        <v/>
      </c>
      <c r="L10" s="13">
        <f>ROUND(F10/MAX(H10,1)*30,0)</f>
        <v/>
      </c>
    </row>
    <row r="11">
      <c r="A11" t="inlineStr">
        <is>
          <t>SKU-1010</t>
        </is>
      </c>
      <c r="B11" t="inlineStr">
        <is>
          <t>Cable Item 10</t>
        </is>
      </c>
      <c r="C11" t="inlineStr">
        <is>
          <t>Cables</t>
        </is>
      </c>
      <c r="D11" t="inlineStr">
        <is>
          <t>Blue Ridge Parts</t>
        </is>
      </c>
      <c r="E11" s="12" t="n">
        <v>140.06</v>
      </c>
      <c r="F11" s="13" t="n">
        <v>28</v>
      </c>
      <c r="G11" s="13" t="n">
        <v>69</v>
      </c>
      <c r="H11" s="13" t="n">
        <v>20</v>
      </c>
      <c r="I11" s="13" t="n">
        <v>6</v>
      </c>
      <c r="J11" s="12">
        <f>E11*F11</f>
        <v/>
      </c>
      <c r="K11">
        <f>IF(F11&lt;=G11,"REORDER","OK")</f>
        <v/>
      </c>
      <c r="L11" s="13">
        <f>ROUND(F11/MAX(H11,1)*30,0)</f>
        <v/>
      </c>
    </row>
    <row r="12">
      <c r="A12" t="inlineStr">
        <is>
          <t>SKU-1011</t>
        </is>
      </c>
      <c r="B12" t="inlineStr">
        <is>
          <t>Controller Item 11</t>
        </is>
      </c>
      <c r="C12" t="inlineStr">
        <is>
          <t>Controllers</t>
        </is>
      </c>
      <c r="D12" t="inlineStr">
        <is>
          <t>DataCore Supply</t>
        </is>
      </c>
      <c r="E12" s="12" t="n">
        <v>83.8</v>
      </c>
      <c r="F12" s="13" t="n">
        <v>101</v>
      </c>
      <c r="G12" s="13" t="n">
        <v>25</v>
      </c>
      <c r="H12" s="13" t="n">
        <v>29</v>
      </c>
      <c r="I12" s="13" t="n">
        <v>14</v>
      </c>
      <c r="J12" s="12">
        <f>E12*F12</f>
        <v/>
      </c>
      <c r="K12">
        <f>IF(F12&lt;=G12,"REORDER","OK")</f>
        <v/>
      </c>
      <c r="L12" s="13">
        <f>ROUND(F12/MAX(H12,1)*30,0)</f>
        <v/>
      </c>
    </row>
    <row r="13">
      <c r="A13" t="inlineStr">
        <is>
          <t>SKU-1012</t>
        </is>
      </c>
      <c r="B13" t="inlineStr">
        <is>
          <t>Switche Item 12</t>
        </is>
      </c>
      <c r="C13" t="inlineStr">
        <is>
          <t>Switches</t>
        </is>
      </c>
      <c r="D13" t="inlineStr">
        <is>
          <t>DataCore Supply</t>
        </is>
      </c>
      <c r="E13" s="12" t="n">
        <v>127.52</v>
      </c>
      <c r="F13" s="13" t="n">
        <v>182</v>
      </c>
      <c r="G13" s="13" t="n">
        <v>56</v>
      </c>
      <c r="H13" s="13" t="n">
        <v>10</v>
      </c>
      <c r="I13" s="13" t="n">
        <v>8</v>
      </c>
      <c r="J13" s="12">
        <f>E13*F13</f>
        <v/>
      </c>
      <c r="K13">
        <f>IF(F13&lt;=G13,"REORDER","OK")</f>
        <v/>
      </c>
      <c r="L13" s="13">
        <f>ROUND(F13/MAX(H13,1)*30,0)</f>
        <v/>
      </c>
    </row>
    <row r="14">
      <c r="A14" t="inlineStr">
        <is>
          <t>SKU-1013</t>
        </is>
      </c>
      <c r="B14" t="inlineStr">
        <is>
          <t>Power Supplie Item 13</t>
        </is>
      </c>
      <c r="C14" t="inlineStr">
        <is>
          <t>Power Supplies</t>
        </is>
      </c>
      <c r="D14" t="inlineStr">
        <is>
          <t>Blue Ridge Parts</t>
        </is>
      </c>
      <c r="E14" s="12" t="n">
        <v>32.76</v>
      </c>
      <c r="F14" s="13" t="n">
        <v>105</v>
      </c>
      <c r="G14" s="13" t="n">
        <v>32</v>
      </c>
      <c r="H14" s="13" t="n">
        <v>46</v>
      </c>
      <c r="I14" s="13" t="n">
        <v>20</v>
      </c>
      <c r="J14" s="12">
        <f>E14*F14</f>
        <v/>
      </c>
      <c r="K14">
        <f>IF(F14&lt;=G14,"REORDER","OK")</f>
        <v/>
      </c>
      <c r="L14" s="13">
        <f>ROUND(F14/MAX(H14,1)*30,0)</f>
        <v/>
      </c>
    </row>
    <row r="15">
      <c r="A15" t="inlineStr">
        <is>
          <t>SKU-1014</t>
        </is>
      </c>
      <c r="B15" t="inlineStr">
        <is>
          <t>Switche Item 14</t>
        </is>
      </c>
      <c r="C15" t="inlineStr">
        <is>
          <t>Switches</t>
        </is>
      </c>
      <c r="D15" t="inlineStr">
        <is>
          <t>DataCore Supply</t>
        </is>
      </c>
      <c r="E15" s="12" t="n">
        <v>152.34</v>
      </c>
      <c r="F15" s="13" t="n">
        <v>206</v>
      </c>
      <c r="G15" s="13" t="n">
        <v>18</v>
      </c>
      <c r="H15" s="13" t="n">
        <v>20</v>
      </c>
      <c r="I15" s="13" t="n">
        <v>4</v>
      </c>
      <c r="J15" s="12">
        <f>E15*F15</f>
        <v/>
      </c>
      <c r="K15">
        <f>IF(F15&lt;=G15,"REORDER","OK")</f>
        <v/>
      </c>
      <c r="L15" s="13">
        <f>ROUND(F15/MAX(H15,1)*30,0)</f>
        <v/>
      </c>
    </row>
    <row r="16">
      <c r="A16" t="inlineStr">
        <is>
          <t>SKU-1015</t>
        </is>
      </c>
      <c r="B16" t="inlineStr">
        <is>
          <t>Sensor Item 15</t>
        </is>
      </c>
      <c r="C16" t="inlineStr">
        <is>
          <t>Sensors</t>
        </is>
      </c>
      <c r="D16" t="inlineStr">
        <is>
          <t>Omni Industrial</t>
        </is>
      </c>
      <c r="E16" s="12" t="n">
        <v>51.12</v>
      </c>
      <c r="F16" s="13" t="n">
        <v>62</v>
      </c>
      <c r="G16" s="13" t="n">
        <v>51</v>
      </c>
      <c r="H16" s="13" t="n">
        <v>51</v>
      </c>
      <c r="I16" s="13" t="n">
        <v>13</v>
      </c>
      <c r="J16" s="12">
        <f>E16*F16</f>
        <v/>
      </c>
      <c r="K16">
        <f>IF(F16&lt;=G16,"REORDER","OK")</f>
        <v/>
      </c>
      <c r="L16" s="13">
        <f>ROUND(F16/MAX(H16,1)*30,0)</f>
        <v/>
      </c>
    </row>
    <row r="17">
      <c r="A17" t="inlineStr">
        <is>
          <t>SKU-1016</t>
        </is>
      </c>
      <c r="B17" t="inlineStr">
        <is>
          <t>Switche Item 16</t>
        </is>
      </c>
      <c r="C17" t="inlineStr">
        <is>
          <t>Switches</t>
        </is>
      </c>
      <c r="D17" t="inlineStr">
        <is>
          <t>Omni Industrial</t>
        </is>
      </c>
      <c r="E17" s="12" t="n">
        <v>73.63</v>
      </c>
      <c r="F17" s="13" t="n">
        <v>172</v>
      </c>
      <c r="G17" s="13" t="n">
        <v>44</v>
      </c>
      <c r="H17" s="13" t="n">
        <v>15</v>
      </c>
      <c r="I17" s="13" t="n">
        <v>11</v>
      </c>
      <c r="J17" s="12">
        <f>E17*F17</f>
        <v/>
      </c>
      <c r="K17">
        <f>IF(F17&lt;=G17,"REORDER","OK")</f>
        <v/>
      </c>
      <c r="L17" s="13">
        <f>ROUND(F17/MAX(H17,1)*30,0)</f>
        <v/>
      </c>
    </row>
    <row r="18">
      <c r="A18" t="inlineStr">
        <is>
          <t>SKU-1017</t>
        </is>
      </c>
      <c r="B18" t="inlineStr">
        <is>
          <t>Switche Item 17</t>
        </is>
      </c>
      <c r="C18" t="inlineStr">
        <is>
          <t>Switches</t>
        </is>
      </c>
      <c r="D18" t="inlineStr">
        <is>
          <t>Blue Ridge Parts</t>
        </is>
      </c>
      <c r="E18" s="12" t="n">
        <v>135.12</v>
      </c>
      <c r="F18" s="13" t="n">
        <v>145</v>
      </c>
      <c r="G18" s="13" t="n">
        <v>31</v>
      </c>
      <c r="H18" s="13" t="n">
        <v>53</v>
      </c>
      <c r="I18" s="13" t="n">
        <v>21</v>
      </c>
      <c r="J18" s="12">
        <f>E18*F18</f>
        <v/>
      </c>
      <c r="K18">
        <f>IF(F18&lt;=G18,"REORDER","OK")</f>
        <v/>
      </c>
      <c r="L18" s="13">
        <f>ROUND(F18/MAX(H18,1)*30,0)</f>
        <v/>
      </c>
    </row>
    <row r="19">
      <c r="A19" t="inlineStr">
        <is>
          <t>SKU-1018</t>
        </is>
      </c>
      <c r="B19" t="inlineStr">
        <is>
          <t>Controller Item 18</t>
        </is>
      </c>
      <c r="C19" t="inlineStr">
        <is>
          <t>Controllers</t>
        </is>
      </c>
      <c r="D19" t="inlineStr">
        <is>
          <t>Peak Systems</t>
        </is>
      </c>
      <c r="E19" s="12" t="n">
        <v>74.29000000000001</v>
      </c>
      <c r="F19" s="13" t="n">
        <v>64</v>
      </c>
      <c r="G19" s="13" t="n">
        <v>23</v>
      </c>
      <c r="H19" s="13" t="n">
        <v>38</v>
      </c>
      <c r="I19" s="13" t="n">
        <v>18</v>
      </c>
      <c r="J19" s="12">
        <f>E19*F19</f>
        <v/>
      </c>
      <c r="K19">
        <f>IF(F19&lt;=G19,"REORDER","OK")</f>
        <v/>
      </c>
      <c r="L19" s="13">
        <f>ROUND(F19/MAX(H19,1)*30,0)</f>
        <v/>
      </c>
    </row>
    <row r="20">
      <c r="A20" t="inlineStr">
        <is>
          <t>SKU-1019</t>
        </is>
      </c>
      <c r="B20" t="inlineStr">
        <is>
          <t>Cable Item 19</t>
        </is>
      </c>
      <c r="C20" t="inlineStr">
        <is>
          <t>Cables</t>
        </is>
      </c>
      <c r="D20" t="inlineStr">
        <is>
          <t>NovaTech</t>
        </is>
      </c>
      <c r="E20" s="12" t="n">
        <v>155.55</v>
      </c>
      <c r="F20" s="13" t="n">
        <v>47</v>
      </c>
      <c r="G20" s="13" t="n">
        <v>55</v>
      </c>
      <c r="H20" s="13" t="n">
        <v>16</v>
      </c>
      <c r="I20" s="13" t="n">
        <v>16</v>
      </c>
      <c r="J20" s="12">
        <f>E20*F20</f>
        <v/>
      </c>
      <c r="K20">
        <f>IF(F20&lt;=G20,"REORDER","OK")</f>
        <v/>
      </c>
      <c r="L20" s="13">
        <f>ROUND(F20/MAX(H20,1)*30,0)</f>
        <v/>
      </c>
    </row>
    <row r="21">
      <c r="A21" t="inlineStr">
        <is>
          <t>SKU-1020</t>
        </is>
      </c>
      <c r="B21" t="inlineStr">
        <is>
          <t>Power Supplie Item 20</t>
        </is>
      </c>
      <c r="C21" t="inlineStr">
        <is>
          <t>Power Supplies</t>
        </is>
      </c>
      <c r="D21" t="inlineStr">
        <is>
          <t>NovaTech</t>
        </is>
      </c>
      <c r="E21" s="12" t="n">
        <v>71.72</v>
      </c>
      <c r="F21" s="13" t="n">
        <v>160</v>
      </c>
      <c r="G21" s="13" t="n">
        <v>44</v>
      </c>
      <c r="H21" s="13" t="n">
        <v>39</v>
      </c>
      <c r="I21" s="13" t="n">
        <v>11</v>
      </c>
      <c r="J21" s="12">
        <f>E21*F21</f>
        <v/>
      </c>
      <c r="K21">
        <f>IF(F21&lt;=G21,"REORDER","OK")</f>
        <v/>
      </c>
      <c r="L21" s="13">
        <f>ROUND(F21/MAX(H21,1)*30,0)</f>
        <v/>
      </c>
    </row>
    <row r="22">
      <c r="A22" t="inlineStr">
        <is>
          <t>SKU-1021</t>
        </is>
      </c>
      <c r="B22" t="inlineStr">
        <is>
          <t>Power Supplie Item 21</t>
        </is>
      </c>
      <c r="C22" t="inlineStr">
        <is>
          <t>Power Supplies</t>
        </is>
      </c>
      <c r="D22" t="inlineStr">
        <is>
          <t>NovaTech</t>
        </is>
      </c>
      <c r="E22" s="12" t="n">
        <v>123.73</v>
      </c>
      <c r="F22" s="13" t="n">
        <v>37</v>
      </c>
      <c r="G22" s="13" t="n">
        <v>58</v>
      </c>
      <c r="H22" s="13" t="n">
        <v>40</v>
      </c>
      <c r="I22" s="13" t="n">
        <v>11</v>
      </c>
      <c r="J22" s="12">
        <f>E22*F22</f>
        <v/>
      </c>
      <c r="K22">
        <f>IF(F22&lt;=G22,"REORDER","OK")</f>
        <v/>
      </c>
      <c r="L22" s="13">
        <f>ROUND(F22/MAX(H22,1)*30,0)</f>
        <v/>
      </c>
    </row>
    <row r="23">
      <c r="A23" t="inlineStr">
        <is>
          <t>SKU-1022</t>
        </is>
      </c>
      <c r="B23" t="inlineStr">
        <is>
          <t>Networking Item 22</t>
        </is>
      </c>
      <c r="C23" t="inlineStr">
        <is>
          <t>Networking</t>
        </is>
      </c>
      <c r="D23" t="inlineStr">
        <is>
          <t>DataCore Supply</t>
        </is>
      </c>
      <c r="E23" s="12" t="n">
        <v>23.63</v>
      </c>
      <c r="F23" s="13" t="n">
        <v>119</v>
      </c>
      <c r="G23" s="13" t="n">
        <v>25</v>
      </c>
      <c r="H23" s="13" t="n">
        <v>35</v>
      </c>
      <c r="I23" s="13" t="n">
        <v>3</v>
      </c>
      <c r="J23" s="12">
        <f>E23*F23</f>
        <v/>
      </c>
      <c r="K23">
        <f>IF(F23&lt;=G23,"REORDER","OK")</f>
        <v/>
      </c>
      <c r="L23" s="13">
        <f>ROUND(F23/MAX(H23,1)*30,0)</f>
        <v/>
      </c>
    </row>
    <row r="24">
      <c r="A24" t="inlineStr">
        <is>
          <t>SKU-1023</t>
        </is>
      </c>
      <c r="B24" t="inlineStr">
        <is>
          <t>Networking Item 23</t>
        </is>
      </c>
      <c r="C24" t="inlineStr">
        <is>
          <t>Networking</t>
        </is>
      </c>
      <c r="D24" t="inlineStr">
        <is>
          <t>DataCore Supply</t>
        </is>
      </c>
      <c r="E24" s="12" t="n">
        <v>175.05</v>
      </c>
      <c r="F24" s="13" t="n">
        <v>203</v>
      </c>
      <c r="G24" s="13" t="n">
        <v>26</v>
      </c>
      <c r="H24" s="13" t="n">
        <v>38</v>
      </c>
      <c r="I24" s="13" t="n">
        <v>6</v>
      </c>
      <c r="J24" s="12">
        <f>E24*F24</f>
        <v/>
      </c>
      <c r="K24">
        <f>IF(F24&lt;=G24,"REORDER","OK")</f>
        <v/>
      </c>
      <c r="L24" s="13">
        <f>ROUND(F24/MAX(H24,1)*30,0)</f>
        <v/>
      </c>
    </row>
    <row r="25">
      <c r="A25" t="inlineStr">
        <is>
          <t>SKU-1024</t>
        </is>
      </c>
      <c r="B25" t="inlineStr">
        <is>
          <t>Networking Item 24</t>
        </is>
      </c>
      <c r="C25" t="inlineStr">
        <is>
          <t>Networking</t>
        </is>
      </c>
      <c r="D25" t="inlineStr">
        <is>
          <t>DataCore Supply</t>
        </is>
      </c>
      <c r="E25" s="12" t="n">
        <v>152.13</v>
      </c>
      <c r="F25" s="13" t="n">
        <v>137</v>
      </c>
      <c r="G25" s="13" t="n">
        <v>53</v>
      </c>
      <c r="H25" s="13" t="n">
        <v>18</v>
      </c>
      <c r="I25" s="13" t="n">
        <v>7</v>
      </c>
      <c r="J25" s="12">
        <f>E25*F25</f>
        <v/>
      </c>
      <c r="K25">
        <f>IF(F25&lt;=G25,"REORDER","OK")</f>
        <v/>
      </c>
      <c r="L25" s="13">
        <f>ROUND(F25/MAX(H25,1)*30,0)</f>
        <v/>
      </c>
    </row>
    <row r="26">
      <c r="A26" t="inlineStr">
        <is>
          <t>SKU-1025</t>
        </is>
      </c>
      <c r="B26" t="inlineStr">
        <is>
          <t>Sensor Item 25</t>
        </is>
      </c>
      <c r="C26" t="inlineStr">
        <is>
          <t>Sensors</t>
        </is>
      </c>
      <c r="D26" t="inlineStr">
        <is>
          <t>Blue Ridge Parts</t>
        </is>
      </c>
      <c r="E26" s="12" t="n">
        <v>98.93000000000001</v>
      </c>
      <c r="F26" s="13" t="n">
        <v>207</v>
      </c>
      <c r="G26" s="13" t="n">
        <v>48</v>
      </c>
      <c r="H26" s="13" t="n">
        <v>6</v>
      </c>
      <c r="I26" s="13" t="n">
        <v>13</v>
      </c>
      <c r="J26" s="12">
        <f>E26*F26</f>
        <v/>
      </c>
      <c r="K26">
        <f>IF(F26&lt;=G26,"REORDER","OK")</f>
        <v/>
      </c>
      <c r="L26" s="13">
        <f>ROUND(F26/MAX(H26,1)*30,0)</f>
        <v/>
      </c>
    </row>
    <row r="27">
      <c r="A27" t="inlineStr">
        <is>
          <t>SKU-1026</t>
        </is>
      </c>
      <c r="B27" t="inlineStr">
        <is>
          <t>Controller Item 26</t>
        </is>
      </c>
      <c r="C27" t="inlineStr">
        <is>
          <t>Controllers</t>
        </is>
      </c>
      <c r="D27" t="inlineStr">
        <is>
          <t>NovaTech</t>
        </is>
      </c>
      <c r="E27" s="12" t="n">
        <v>23.69</v>
      </c>
      <c r="F27" s="13" t="n">
        <v>100</v>
      </c>
      <c r="G27" s="13" t="n">
        <v>68</v>
      </c>
      <c r="H27" s="13" t="n">
        <v>25</v>
      </c>
      <c r="I27" s="13" t="n">
        <v>10</v>
      </c>
      <c r="J27" s="12">
        <f>E27*F27</f>
        <v/>
      </c>
      <c r="K27">
        <f>IF(F27&lt;=G27,"REORDER","OK")</f>
        <v/>
      </c>
      <c r="L27" s="13">
        <f>ROUND(F27/MAX(H27,1)*30,0)</f>
        <v/>
      </c>
    </row>
    <row r="28">
      <c r="A28" t="inlineStr">
        <is>
          <t>SKU-1027</t>
        </is>
      </c>
      <c r="B28" t="inlineStr">
        <is>
          <t>Cable Item 27</t>
        </is>
      </c>
      <c r="C28" t="inlineStr">
        <is>
          <t>Cables</t>
        </is>
      </c>
      <c r="D28" t="inlineStr">
        <is>
          <t>Blue Ridge Parts</t>
        </is>
      </c>
      <c r="E28" s="12" t="n">
        <v>158.53</v>
      </c>
      <c r="F28" s="13" t="n">
        <v>28</v>
      </c>
      <c r="G28" s="13" t="n">
        <v>20</v>
      </c>
      <c r="H28" s="13" t="n">
        <v>52</v>
      </c>
      <c r="I28" s="13" t="n">
        <v>18</v>
      </c>
      <c r="J28" s="12">
        <f>E28*F28</f>
        <v/>
      </c>
      <c r="K28">
        <f>IF(F28&lt;=G28,"REORDER","OK")</f>
        <v/>
      </c>
      <c r="L28" s="13">
        <f>ROUND(F28/MAX(H28,1)*30,0)</f>
        <v/>
      </c>
    </row>
    <row r="29">
      <c r="A29" t="inlineStr">
        <is>
          <t>SKU-1028</t>
        </is>
      </c>
      <c r="B29" t="inlineStr">
        <is>
          <t>Cable Item 28</t>
        </is>
      </c>
      <c r="C29" t="inlineStr">
        <is>
          <t>Cables</t>
        </is>
      </c>
      <c r="D29" t="inlineStr">
        <is>
          <t>Peak Systems</t>
        </is>
      </c>
      <c r="E29" s="12" t="n">
        <v>138.79</v>
      </c>
      <c r="F29" s="13" t="n">
        <v>40</v>
      </c>
      <c r="G29" s="13" t="n">
        <v>57</v>
      </c>
      <c r="H29" s="13" t="n">
        <v>36</v>
      </c>
      <c r="I29" s="13" t="n">
        <v>20</v>
      </c>
      <c r="J29" s="12">
        <f>E29*F29</f>
        <v/>
      </c>
      <c r="K29">
        <f>IF(F29&lt;=G29,"REORDER","OK")</f>
        <v/>
      </c>
      <c r="L29" s="13">
        <f>ROUND(F29/MAX(H29,1)*30,0)</f>
        <v/>
      </c>
    </row>
    <row r="30">
      <c r="A30" t="inlineStr">
        <is>
          <t>SKU-1029</t>
        </is>
      </c>
      <c r="B30" t="inlineStr">
        <is>
          <t>Switche Item 29</t>
        </is>
      </c>
      <c r="C30" t="inlineStr">
        <is>
          <t>Switches</t>
        </is>
      </c>
      <c r="D30" t="inlineStr">
        <is>
          <t>DataCore Supply</t>
        </is>
      </c>
      <c r="E30" s="12" t="n">
        <v>96.87</v>
      </c>
      <c r="F30" s="13" t="n">
        <v>163</v>
      </c>
      <c r="G30" s="13" t="n">
        <v>42</v>
      </c>
      <c r="H30" s="13" t="n">
        <v>19</v>
      </c>
      <c r="I30" s="13" t="n">
        <v>20</v>
      </c>
      <c r="J30" s="12">
        <f>E30*F30</f>
        <v/>
      </c>
      <c r="K30">
        <f>IF(F30&lt;=G30,"REORDER","OK")</f>
        <v/>
      </c>
      <c r="L30" s="13">
        <f>ROUND(F30/MAX(H30,1)*30,0)</f>
        <v/>
      </c>
    </row>
    <row r="31">
      <c r="A31" t="inlineStr">
        <is>
          <t>SKU-1030</t>
        </is>
      </c>
      <c r="B31" t="inlineStr">
        <is>
          <t>Networking Item 30</t>
        </is>
      </c>
      <c r="C31" t="inlineStr">
        <is>
          <t>Networking</t>
        </is>
      </c>
      <c r="D31" t="inlineStr">
        <is>
          <t>Blue Ridge Parts</t>
        </is>
      </c>
      <c r="E31" s="12" t="n">
        <v>129.48</v>
      </c>
      <c r="F31" s="13" t="n">
        <v>110</v>
      </c>
      <c r="G31" s="13" t="n">
        <v>57</v>
      </c>
      <c r="H31" s="13" t="n">
        <v>47</v>
      </c>
      <c r="I31" s="13" t="n">
        <v>14</v>
      </c>
      <c r="J31" s="12">
        <f>E31*F31</f>
        <v/>
      </c>
      <c r="K31">
        <f>IF(F31&lt;=G31,"REORDER","OK")</f>
        <v/>
      </c>
      <c r="L31" s="13">
        <f>ROUND(F31/MAX(H31,1)*30,0)</f>
        <v/>
      </c>
    </row>
    <row r="32">
      <c r="A32" t="inlineStr">
        <is>
          <t>SKU-1031</t>
        </is>
      </c>
      <c r="B32" t="inlineStr">
        <is>
          <t>Controller Item 31</t>
        </is>
      </c>
      <c r="C32" t="inlineStr">
        <is>
          <t>Controllers</t>
        </is>
      </c>
      <c r="D32" t="inlineStr">
        <is>
          <t>Peak Systems</t>
        </is>
      </c>
      <c r="E32" s="12" t="n">
        <v>83.45999999999999</v>
      </c>
      <c r="F32" s="13" t="n">
        <v>71</v>
      </c>
      <c r="G32" s="13" t="n">
        <v>29</v>
      </c>
      <c r="H32" s="13" t="n">
        <v>10</v>
      </c>
      <c r="I32" s="13" t="n">
        <v>13</v>
      </c>
      <c r="J32" s="12">
        <f>E32*F32</f>
        <v/>
      </c>
      <c r="K32">
        <f>IF(F32&lt;=G32,"REORDER","OK")</f>
        <v/>
      </c>
      <c r="L32" s="13">
        <f>ROUND(F32/MAX(H32,1)*30,0)</f>
        <v/>
      </c>
    </row>
    <row r="33">
      <c r="A33" t="inlineStr">
        <is>
          <t>SKU-1032</t>
        </is>
      </c>
      <c r="B33" t="inlineStr">
        <is>
          <t>Cable Item 32</t>
        </is>
      </c>
      <c r="C33" t="inlineStr">
        <is>
          <t>Cables</t>
        </is>
      </c>
      <c r="D33" t="inlineStr">
        <is>
          <t>Peak Systems</t>
        </is>
      </c>
      <c r="E33" s="12" t="n">
        <v>101.49</v>
      </c>
      <c r="F33" s="13" t="n">
        <v>158</v>
      </c>
      <c r="G33" s="13" t="n">
        <v>29</v>
      </c>
      <c r="H33" s="13" t="n">
        <v>6</v>
      </c>
      <c r="I33" s="13" t="n">
        <v>5</v>
      </c>
      <c r="J33" s="12">
        <f>E33*F33</f>
        <v/>
      </c>
      <c r="K33">
        <f>IF(F33&lt;=G33,"REORDER","OK")</f>
        <v/>
      </c>
      <c r="L33" s="13">
        <f>ROUND(F33/MAX(H33,1)*30,0)</f>
        <v/>
      </c>
    </row>
    <row r="34">
      <c r="A34" t="inlineStr">
        <is>
          <t>SKU-1033</t>
        </is>
      </c>
      <c r="B34" t="inlineStr">
        <is>
          <t>Networking Item 33</t>
        </is>
      </c>
      <c r="C34" t="inlineStr">
        <is>
          <t>Networking</t>
        </is>
      </c>
      <c r="D34" t="inlineStr">
        <is>
          <t>NovaTech</t>
        </is>
      </c>
      <c r="E34" s="12" t="n">
        <v>44.29</v>
      </c>
      <c r="F34" s="13" t="n">
        <v>16</v>
      </c>
      <c r="G34" s="13" t="n">
        <v>70</v>
      </c>
      <c r="H34" s="13" t="n">
        <v>27</v>
      </c>
      <c r="I34" s="13" t="n">
        <v>5</v>
      </c>
      <c r="J34" s="12">
        <f>E34*F34</f>
        <v/>
      </c>
      <c r="K34">
        <f>IF(F34&lt;=G34,"REORDER","OK")</f>
        <v/>
      </c>
      <c r="L34" s="13">
        <f>ROUND(F34/MAX(H34,1)*30,0)</f>
        <v/>
      </c>
    </row>
    <row r="35">
      <c r="A35" t="inlineStr">
        <is>
          <t>SKU-1034</t>
        </is>
      </c>
      <c r="B35" t="inlineStr">
        <is>
          <t>Power Supplie Item 34</t>
        </is>
      </c>
      <c r="C35" t="inlineStr">
        <is>
          <t>Power Supplies</t>
        </is>
      </c>
      <c r="D35" t="inlineStr">
        <is>
          <t>Blue Ridge Parts</t>
        </is>
      </c>
      <c r="E35" s="12" t="n">
        <v>53.01</v>
      </c>
      <c r="F35" s="13" t="n">
        <v>132</v>
      </c>
      <c r="G35" s="13" t="n">
        <v>28</v>
      </c>
      <c r="H35" s="13" t="n">
        <v>40</v>
      </c>
      <c r="I35" s="13" t="n">
        <v>7</v>
      </c>
      <c r="J35" s="12">
        <f>E35*F35</f>
        <v/>
      </c>
      <c r="K35">
        <f>IF(F35&lt;=G35,"REORDER","OK")</f>
        <v/>
      </c>
      <c r="L35" s="13">
        <f>ROUND(F35/MAX(H35,1)*30,0)</f>
        <v/>
      </c>
    </row>
    <row r="36">
      <c r="A36" t="inlineStr">
        <is>
          <t>SKU-1035</t>
        </is>
      </c>
      <c r="B36" t="inlineStr">
        <is>
          <t>Networking Item 35</t>
        </is>
      </c>
      <c r="C36" t="inlineStr">
        <is>
          <t>Networking</t>
        </is>
      </c>
      <c r="D36" t="inlineStr">
        <is>
          <t>Peak Systems</t>
        </is>
      </c>
      <c r="E36" s="12" t="n">
        <v>105.41</v>
      </c>
      <c r="F36" s="13" t="n">
        <v>70</v>
      </c>
      <c r="G36" s="13" t="n">
        <v>65</v>
      </c>
      <c r="H36" s="13" t="n">
        <v>36</v>
      </c>
      <c r="I36" s="13" t="n">
        <v>16</v>
      </c>
      <c r="J36" s="12">
        <f>E36*F36</f>
        <v/>
      </c>
      <c r="K36">
        <f>IF(F36&lt;=G36,"REORDER","OK")</f>
        <v/>
      </c>
      <c r="L36" s="13">
        <f>ROUND(F36/MAX(H36,1)*30,0)</f>
        <v/>
      </c>
    </row>
    <row r="37">
      <c r="A37" t="inlineStr">
        <is>
          <t>SKU-1036</t>
        </is>
      </c>
      <c r="B37" t="inlineStr">
        <is>
          <t>Switche Item 36</t>
        </is>
      </c>
      <c r="C37" t="inlineStr">
        <is>
          <t>Switches</t>
        </is>
      </c>
      <c r="D37" t="inlineStr">
        <is>
          <t>NovaTech</t>
        </is>
      </c>
      <c r="E37" s="12" t="n">
        <v>21.06</v>
      </c>
      <c r="F37" s="13" t="n">
        <v>118</v>
      </c>
      <c r="G37" s="13" t="n">
        <v>37</v>
      </c>
      <c r="H37" s="13" t="n">
        <v>33</v>
      </c>
      <c r="I37" s="13" t="n">
        <v>16</v>
      </c>
      <c r="J37" s="12">
        <f>E37*F37</f>
        <v/>
      </c>
      <c r="K37">
        <f>IF(F37&lt;=G37,"REORDER","OK")</f>
        <v/>
      </c>
      <c r="L37" s="13">
        <f>ROUND(F37/MAX(H37,1)*30,0)</f>
        <v/>
      </c>
    </row>
    <row r="38">
      <c r="A38" t="inlineStr">
        <is>
          <t>SKU-1037</t>
        </is>
      </c>
      <c r="B38" t="inlineStr">
        <is>
          <t>Controller Item 37</t>
        </is>
      </c>
      <c r="C38" t="inlineStr">
        <is>
          <t>Controllers</t>
        </is>
      </c>
      <c r="D38" t="inlineStr">
        <is>
          <t>NovaTech</t>
        </is>
      </c>
      <c r="E38" s="12" t="n">
        <v>122.51</v>
      </c>
      <c r="F38" s="13" t="n">
        <v>173</v>
      </c>
      <c r="G38" s="13" t="n">
        <v>21</v>
      </c>
      <c r="H38" s="13" t="n">
        <v>9</v>
      </c>
      <c r="I38" s="13" t="n">
        <v>15</v>
      </c>
      <c r="J38" s="12">
        <f>E38*F38</f>
        <v/>
      </c>
      <c r="K38">
        <f>IF(F38&lt;=G38,"REORDER","OK")</f>
        <v/>
      </c>
      <c r="L38" s="13">
        <f>ROUND(F38/MAX(H38,1)*30,0)</f>
        <v/>
      </c>
    </row>
    <row r="39">
      <c r="A39" t="inlineStr">
        <is>
          <t>SKU-1038</t>
        </is>
      </c>
      <c r="B39" t="inlineStr">
        <is>
          <t>Networking Item 38</t>
        </is>
      </c>
      <c r="C39" t="inlineStr">
        <is>
          <t>Networking</t>
        </is>
      </c>
      <c r="D39" t="inlineStr">
        <is>
          <t>DataCore Supply</t>
        </is>
      </c>
      <c r="E39" s="12" t="n">
        <v>144.9</v>
      </c>
      <c r="F39" s="13" t="n">
        <v>35</v>
      </c>
      <c r="G39" s="13" t="n">
        <v>30</v>
      </c>
      <c r="H39" s="13" t="n">
        <v>18</v>
      </c>
      <c r="I39" s="13" t="n">
        <v>9</v>
      </c>
      <c r="J39" s="12">
        <f>E39*F39</f>
        <v/>
      </c>
      <c r="K39">
        <f>IF(F39&lt;=G39,"REORDER","OK")</f>
        <v/>
      </c>
      <c r="L39" s="13">
        <f>ROUND(F39/MAX(H39,1)*30,0)</f>
        <v/>
      </c>
    </row>
    <row r="40">
      <c r="A40" t="inlineStr">
        <is>
          <t>SKU-1039</t>
        </is>
      </c>
      <c r="B40" t="inlineStr">
        <is>
          <t>Power Supplie Item 39</t>
        </is>
      </c>
      <c r="C40" t="inlineStr">
        <is>
          <t>Power Supplies</t>
        </is>
      </c>
      <c r="D40" t="inlineStr">
        <is>
          <t>Omni Industrial</t>
        </is>
      </c>
      <c r="E40" s="12" t="n">
        <v>28.67</v>
      </c>
      <c r="F40" s="13" t="n">
        <v>54</v>
      </c>
      <c r="G40" s="13" t="n">
        <v>32</v>
      </c>
      <c r="H40" s="13" t="n">
        <v>35</v>
      </c>
      <c r="I40" s="13" t="n">
        <v>10</v>
      </c>
      <c r="J40" s="12">
        <f>E40*F40</f>
        <v/>
      </c>
      <c r="K40">
        <f>IF(F40&lt;=G40,"REORDER","OK")</f>
        <v/>
      </c>
      <c r="L40" s="13">
        <f>ROUND(F40/MAX(H40,1)*30,0)</f>
        <v/>
      </c>
    </row>
    <row r="41">
      <c r="A41" t="inlineStr">
        <is>
          <t>SKU-1040</t>
        </is>
      </c>
      <c r="B41" t="inlineStr">
        <is>
          <t>Cable Item 40</t>
        </is>
      </c>
      <c r="C41" t="inlineStr">
        <is>
          <t>Cables</t>
        </is>
      </c>
      <c r="D41" t="inlineStr">
        <is>
          <t>Omni Industrial</t>
        </is>
      </c>
      <c r="E41" s="12" t="n">
        <v>146.21</v>
      </c>
      <c r="F41" s="13" t="n">
        <v>148</v>
      </c>
      <c r="G41" s="13" t="n">
        <v>21</v>
      </c>
      <c r="H41" s="13" t="n">
        <v>9</v>
      </c>
      <c r="I41" s="13" t="n">
        <v>20</v>
      </c>
      <c r="J41" s="12">
        <f>E41*F41</f>
        <v/>
      </c>
      <c r="K41">
        <f>IF(F41&lt;=G41,"REORDER","OK")</f>
        <v/>
      </c>
      <c r="L41" s="13">
        <f>ROUND(F41/MAX(H41,1)*30,0)</f>
        <v/>
      </c>
    </row>
    <row r="42">
      <c r="A42" t="inlineStr">
        <is>
          <t>SKU-1041</t>
        </is>
      </c>
      <c r="B42" t="inlineStr">
        <is>
          <t>Cable Item 41</t>
        </is>
      </c>
      <c r="C42" t="inlineStr">
        <is>
          <t>Cables</t>
        </is>
      </c>
      <c r="D42" t="inlineStr">
        <is>
          <t>NovaTech</t>
        </is>
      </c>
      <c r="E42" s="12" t="n">
        <v>167.04</v>
      </c>
      <c r="F42" s="13" t="n">
        <v>68</v>
      </c>
      <c r="G42" s="13" t="n">
        <v>25</v>
      </c>
      <c r="H42" s="13" t="n">
        <v>32</v>
      </c>
      <c r="I42" s="13" t="n">
        <v>18</v>
      </c>
      <c r="J42" s="12">
        <f>E42*F42</f>
        <v/>
      </c>
      <c r="K42">
        <f>IF(F42&lt;=G42,"REORDER","OK")</f>
        <v/>
      </c>
      <c r="L42" s="13">
        <f>ROUND(F42/MAX(H42,1)*30,0)</f>
        <v/>
      </c>
    </row>
    <row r="43">
      <c r="A43" t="inlineStr">
        <is>
          <t>SKU-1042</t>
        </is>
      </c>
      <c r="B43" t="inlineStr">
        <is>
          <t>Controller Item 42</t>
        </is>
      </c>
      <c r="C43" t="inlineStr">
        <is>
          <t>Controllers</t>
        </is>
      </c>
      <c r="D43" t="inlineStr">
        <is>
          <t>Blue Ridge Parts</t>
        </is>
      </c>
      <c r="E43" s="12" t="n">
        <v>156.18</v>
      </c>
      <c r="F43" s="13" t="n">
        <v>23</v>
      </c>
      <c r="G43" s="13" t="n">
        <v>25</v>
      </c>
      <c r="H43" s="13" t="n">
        <v>30</v>
      </c>
      <c r="I43" s="13" t="n">
        <v>3</v>
      </c>
      <c r="J43" s="12">
        <f>E43*F43</f>
        <v/>
      </c>
      <c r="K43">
        <f>IF(F43&lt;=G43,"REORDER","OK")</f>
        <v/>
      </c>
      <c r="L43" s="13">
        <f>ROUND(F43/MAX(H43,1)*30,0)</f>
        <v/>
      </c>
    </row>
    <row r="44">
      <c r="A44" t="inlineStr">
        <is>
          <t>SKU-1043</t>
        </is>
      </c>
      <c r="B44" t="inlineStr">
        <is>
          <t>Controller Item 43</t>
        </is>
      </c>
      <c r="C44" t="inlineStr">
        <is>
          <t>Controllers</t>
        </is>
      </c>
      <c r="D44" t="inlineStr">
        <is>
          <t>DataCore Supply</t>
        </is>
      </c>
      <c r="E44" s="12" t="n">
        <v>167.07</v>
      </c>
      <c r="F44" s="13" t="n">
        <v>208</v>
      </c>
      <c r="G44" s="13" t="n">
        <v>44</v>
      </c>
      <c r="H44" s="13" t="n">
        <v>24</v>
      </c>
      <c r="I44" s="13" t="n">
        <v>16</v>
      </c>
      <c r="J44" s="12">
        <f>E44*F44</f>
        <v/>
      </c>
      <c r="K44">
        <f>IF(F44&lt;=G44,"REORDER","OK")</f>
        <v/>
      </c>
      <c r="L44" s="13">
        <f>ROUND(F44/MAX(H44,1)*30,0)</f>
        <v/>
      </c>
    </row>
    <row r="45">
      <c r="A45" t="inlineStr">
        <is>
          <t>SKU-1044</t>
        </is>
      </c>
      <c r="B45" t="inlineStr">
        <is>
          <t>Networking Item 44</t>
        </is>
      </c>
      <c r="C45" t="inlineStr">
        <is>
          <t>Networking</t>
        </is>
      </c>
      <c r="D45" t="inlineStr">
        <is>
          <t>Peak Systems</t>
        </is>
      </c>
      <c r="E45" s="12" t="n">
        <v>120.49</v>
      </c>
      <c r="F45" s="13" t="n">
        <v>132</v>
      </c>
      <c r="G45" s="13" t="n">
        <v>24</v>
      </c>
      <c r="H45" s="13" t="n">
        <v>18</v>
      </c>
      <c r="I45" s="13" t="n">
        <v>12</v>
      </c>
      <c r="J45" s="12">
        <f>E45*F45</f>
        <v/>
      </c>
      <c r="K45">
        <f>IF(F45&lt;=G45,"REORDER","OK")</f>
        <v/>
      </c>
      <c r="L45" s="13">
        <f>ROUND(F45/MAX(H45,1)*30,0)</f>
        <v/>
      </c>
    </row>
    <row r="46">
      <c r="A46" t="inlineStr">
        <is>
          <t>SKU-1045</t>
        </is>
      </c>
      <c r="B46" t="inlineStr">
        <is>
          <t>Switche Item 45</t>
        </is>
      </c>
      <c r="C46" t="inlineStr">
        <is>
          <t>Switches</t>
        </is>
      </c>
      <c r="D46" t="inlineStr">
        <is>
          <t>NovaTech</t>
        </is>
      </c>
      <c r="E46" s="12" t="n">
        <v>105.94</v>
      </c>
      <c r="F46" s="13" t="n">
        <v>146</v>
      </c>
      <c r="G46" s="13" t="n">
        <v>18</v>
      </c>
      <c r="H46" s="13" t="n">
        <v>53</v>
      </c>
      <c r="I46" s="13" t="n">
        <v>13</v>
      </c>
      <c r="J46" s="12">
        <f>E46*F46</f>
        <v/>
      </c>
      <c r="K46">
        <f>IF(F46&lt;=G46,"REORDER","OK")</f>
        <v/>
      </c>
      <c r="L46" s="13">
        <f>ROUND(F46/MAX(H46,1)*30,0)</f>
        <v/>
      </c>
    </row>
    <row r="47">
      <c r="A47" t="inlineStr">
        <is>
          <t>SKU-1046</t>
        </is>
      </c>
      <c r="B47" t="inlineStr">
        <is>
          <t>Cable Item 46</t>
        </is>
      </c>
      <c r="C47" t="inlineStr">
        <is>
          <t>Cables</t>
        </is>
      </c>
      <c r="D47" t="inlineStr">
        <is>
          <t>NovaTech</t>
        </is>
      </c>
      <c r="E47" s="12" t="n">
        <v>106.82</v>
      </c>
      <c r="F47" s="13" t="n">
        <v>136</v>
      </c>
      <c r="G47" s="13" t="n">
        <v>69</v>
      </c>
      <c r="H47" s="13" t="n">
        <v>39</v>
      </c>
      <c r="I47" s="13" t="n">
        <v>8</v>
      </c>
      <c r="J47" s="12">
        <f>E47*F47</f>
        <v/>
      </c>
      <c r="K47">
        <f>IF(F47&lt;=G47,"REORDER","OK")</f>
        <v/>
      </c>
      <c r="L47" s="13">
        <f>ROUND(F47/MAX(H47,1)*30,0)</f>
        <v/>
      </c>
    </row>
    <row r="48">
      <c r="A48" t="inlineStr">
        <is>
          <t>SKU-1047</t>
        </is>
      </c>
      <c r="B48" t="inlineStr">
        <is>
          <t>Cable Item 47</t>
        </is>
      </c>
      <c r="C48" t="inlineStr">
        <is>
          <t>Cables</t>
        </is>
      </c>
      <c r="D48" t="inlineStr">
        <is>
          <t>Peak Systems</t>
        </is>
      </c>
      <c r="E48" s="12" t="n">
        <v>18.1</v>
      </c>
      <c r="F48" s="13" t="n">
        <v>55</v>
      </c>
      <c r="G48" s="13" t="n">
        <v>19</v>
      </c>
      <c r="H48" s="13" t="n">
        <v>44</v>
      </c>
      <c r="I48" s="13" t="n">
        <v>5</v>
      </c>
      <c r="J48" s="12">
        <f>E48*F48</f>
        <v/>
      </c>
      <c r="K48">
        <f>IF(F48&lt;=G48,"REORDER","OK")</f>
        <v/>
      </c>
      <c r="L48" s="13">
        <f>ROUND(F48/MAX(H48,1)*30,0)</f>
        <v/>
      </c>
    </row>
    <row r="49">
      <c r="A49" t="inlineStr">
        <is>
          <t>SKU-1048</t>
        </is>
      </c>
      <c r="B49" t="inlineStr">
        <is>
          <t>Networking Item 48</t>
        </is>
      </c>
      <c r="C49" t="inlineStr">
        <is>
          <t>Networking</t>
        </is>
      </c>
      <c r="D49" t="inlineStr">
        <is>
          <t>Blue Ridge Parts</t>
        </is>
      </c>
      <c r="E49" s="12" t="n">
        <v>75.06</v>
      </c>
      <c r="F49" s="13" t="n">
        <v>153</v>
      </c>
      <c r="G49" s="13" t="n">
        <v>30</v>
      </c>
      <c r="H49" s="13" t="n">
        <v>43</v>
      </c>
      <c r="I49" s="13" t="n">
        <v>4</v>
      </c>
      <c r="J49" s="12">
        <f>E49*F49</f>
        <v/>
      </c>
      <c r="K49">
        <f>IF(F49&lt;=G49,"REORDER","OK")</f>
        <v/>
      </c>
      <c r="L49" s="13">
        <f>ROUND(F49/MAX(H49,1)*30,0)</f>
        <v/>
      </c>
    </row>
    <row r="50">
      <c r="A50" t="inlineStr">
        <is>
          <t>SKU-1049</t>
        </is>
      </c>
      <c r="B50" t="inlineStr">
        <is>
          <t>Power Supplie Item 49</t>
        </is>
      </c>
      <c r="C50" t="inlineStr">
        <is>
          <t>Power Supplies</t>
        </is>
      </c>
      <c r="D50" t="inlineStr">
        <is>
          <t>NovaTech</t>
        </is>
      </c>
      <c r="E50" s="12" t="n">
        <v>77.78</v>
      </c>
      <c r="F50" s="13" t="n">
        <v>157</v>
      </c>
      <c r="G50" s="13" t="n">
        <v>51</v>
      </c>
      <c r="H50" s="13" t="n">
        <v>39</v>
      </c>
      <c r="I50" s="13" t="n">
        <v>13</v>
      </c>
      <c r="J50" s="12">
        <f>E50*F50</f>
        <v/>
      </c>
      <c r="K50">
        <f>IF(F50&lt;=G50,"REORDER","OK")</f>
        <v/>
      </c>
      <c r="L50" s="13">
        <f>ROUND(F50/MAX(H50,1)*30,0)</f>
        <v/>
      </c>
    </row>
    <row r="51">
      <c r="A51" t="inlineStr">
        <is>
          <t>SKU-1050</t>
        </is>
      </c>
      <c r="B51" t="inlineStr">
        <is>
          <t>Sensor Item 50</t>
        </is>
      </c>
      <c r="C51" t="inlineStr">
        <is>
          <t>Sensors</t>
        </is>
      </c>
      <c r="D51" t="inlineStr">
        <is>
          <t>Blue Ridge Parts</t>
        </is>
      </c>
      <c r="E51" s="12" t="n">
        <v>121.87</v>
      </c>
      <c r="F51" s="13" t="n">
        <v>88</v>
      </c>
      <c r="G51" s="13" t="n">
        <v>30</v>
      </c>
      <c r="H51" s="13" t="n">
        <v>22</v>
      </c>
      <c r="I51" s="13" t="n">
        <v>15</v>
      </c>
      <c r="J51" s="12">
        <f>E51*F51</f>
        <v/>
      </c>
      <c r="K51">
        <f>IF(F51&lt;=G51,"REORDER","OK")</f>
        <v/>
      </c>
      <c r="L51" s="13">
        <f>ROUND(F51/MAX(H51,1)*30,0)</f>
        <v/>
      </c>
    </row>
    <row r="52">
      <c r="A52" t="inlineStr">
        <is>
          <t>SKU-1051</t>
        </is>
      </c>
      <c r="B52" t="inlineStr">
        <is>
          <t>Switche Item 51</t>
        </is>
      </c>
      <c r="C52" t="inlineStr">
        <is>
          <t>Switches</t>
        </is>
      </c>
      <c r="D52" t="inlineStr">
        <is>
          <t>DataCore Supply</t>
        </is>
      </c>
      <c r="E52" s="12" t="n">
        <v>84.47</v>
      </c>
      <c r="F52" s="13" t="n">
        <v>200</v>
      </c>
      <c r="G52" s="13" t="n">
        <v>19</v>
      </c>
      <c r="H52" s="13" t="n">
        <v>6</v>
      </c>
      <c r="I52" s="13" t="n">
        <v>17</v>
      </c>
      <c r="J52" s="12">
        <f>E52*F52</f>
        <v/>
      </c>
      <c r="K52">
        <f>IF(F52&lt;=G52,"REORDER","OK")</f>
        <v/>
      </c>
      <c r="L52" s="13">
        <f>ROUND(F52/MAX(H52,1)*30,0)</f>
        <v/>
      </c>
    </row>
    <row r="53">
      <c r="A53" t="inlineStr">
        <is>
          <t>SKU-1052</t>
        </is>
      </c>
      <c r="B53" t="inlineStr">
        <is>
          <t>Power Supplie Item 52</t>
        </is>
      </c>
      <c r="C53" t="inlineStr">
        <is>
          <t>Power Supplies</t>
        </is>
      </c>
      <c r="D53" t="inlineStr">
        <is>
          <t>Peak Systems</t>
        </is>
      </c>
      <c r="E53" s="12" t="n">
        <v>179.31</v>
      </c>
      <c r="F53" s="13" t="n">
        <v>26</v>
      </c>
      <c r="G53" s="13" t="n">
        <v>49</v>
      </c>
      <c r="H53" s="13" t="n">
        <v>19</v>
      </c>
      <c r="I53" s="13" t="n">
        <v>19</v>
      </c>
      <c r="J53" s="12">
        <f>E53*F53</f>
        <v/>
      </c>
      <c r="K53">
        <f>IF(F53&lt;=G53,"REORDER","OK")</f>
        <v/>
      </c>
      <c r="L53" s="13">
        <f>ROUND(F53/MAX(H53,1)*30,0)</f>
        <v/>
      </c>
    </row>
    <row r="54">
      <c r="A54" t="inlineStr">
        <is>
          <t>SKU-1053</t>
        </is>
      </c>
      <c r="B54" t="inlineStr">
        <is>
          <t>Sensor Item 53</t>
        </is>
      </c>
      <c r="C54" t="inlineStr">
        <is>
          <t>Sensors</t>
        </is>
      </c>
      <c r="D54" t="inlineStr">
        <is>
          <t>Blue Ridge Parts</t>
        </is>
      </c>
      <c r="E54" s="12" t="n">
        <v>168.25</v>
      </c>
      <c r="F54" s="13" t="n">
        <v>25</v>
      </c>
      <c r="G54" s="13" t="n">
        <v>30</v>
      </c>
      <c r="H54" s="13" t="n">
        <v>29</v>
      </c>
      <c r="I54" s="13" t="n">
        <v>12</v>
      </c>
      <c r="J54" s="12">
        <f>E54*F54</f>
        <v/>
      </c>
      <c r="K54">
        <f>IF(F54&lt;=G54,"REORDER","OK")</f>
        <v/>
      </c>
      <c r="L54" s="13">
        <f>ROUND(F54/MAX(H54,1)*30,0)</f>
        <v/>
      </c>
    </row>
    <row r="55">
      <c r="A55" t="inlineStr">
        <is>
          <t>SKU-1054</t>
        </is>
      </c>
      <c r="B55" t="inlineStr">
        <is>
          <t>Switche Item 54</t>
        </is>
      </c>
      <c r="C55" t="inlineStr">
        <is>
          <t>Switches</t>
        </is>
      </c>
      <c r="D55" t="inlineStr">
        <is>
          <t>Omni Industrial</t>
        </is>
      </c>
      <c r="E55" s="12" t="n">
        <v>150.74</v>
      </c>
      <c r="F55" s="13" t="n">
        <v>188</v>
      </c>
      <c r="G55" s="13" t="n">
        <v>34</v>
      </c>
      <c r="H55" s="13" t="n">
        <v>45</v>
      </c>
      <c r="I55" s="13" t="n">
        <v>19</v>
      </c>
      <c r="J55" s="12">
        <f>E55*F55</f>
        <v/>
      </c>
      <c r="K55">
        <f>IF(F55&lt;=G55,"REORDER","OK")</f>
        <v/>
      </c>
      <c r="L55" s="13">
        <f>ROUND(F55/MAX(H55,1)*30,0)</f>
        <v/>
      </c>
    </row>
    <row r="56">
      <c r="A56" t="inlineStr">
        <is>
          <t>SKU-1055</t>
        </is>
      </c>
      <c r="B56" t="inlineStr">
        <is>
          <t>Cable Item 55</t>
        </is>
      </c>
      <c r="C56" t="inlineStr">
        <is>
          <t>Cables</t>
        </is>
      </c>
      <c r="D56" t="inlineStr">
        <is>
          <t>Peak Systems</t>
        </is>
      </c>
      <c r="E56" s="12" t="n">
        <v>56.69</v>
      </c>
      <c r="F56" s="13" t="n">
        <v>177</v>
      </c>
      <c r="G56" s="13" t="n">
        <v>21</v>
      </c>
      <c r="H56" s="13" t="n">
        <v>14</v>
      </c>
      <c r="I56" s="13" t="n">
        <v>11</v>
      </c>
      <c r="J56" s="12">
        <f>E56*F56</f>
        <v/>
      </c>
      <c r="K56">
        <f>IF(F56&lt;=G56,"REORDER","OK")</f>
        <v/>
      </c>
      <c r="L56" s="13">
        <f>ROUND(F56/MAX(H56,1)*30,0)</f>
        <v/>
      </c>
    </row>
    <row r="57">
      <c r="A57" t="inlineStr">
        <is>
          <t>SKU-1056</t>
        </is>
      </c>
      <c r="B57" t="inlineStr">
        <is>
          <t>Cable Item 56</t>
        </is>
      </c>
      <c r="C57" t="inlineStr">
        <is>
          <t>Cables</t>
        </is>
      </c>
      <c r="D57" t="inlineStr">
        <is>
          <t>NovaTech</t>
        </is>
      </c>
      <c r="E57" s="12" t="n">
        <v>134.67</v>
      </c>
      <c r="F57" s="13" t="n">
        <v>47</v>
      </c>
      <c r="G57" s="13" t="n">
        <v>32</v>
      </c>
      <c r="H57" s="13" t="n">
        <v>24</v>
      </c>
      <c r="I57" s="13" t="n">
        <v>9</v>
      </c>
      <c r="J57" s="12">
        <f>E57*F57</f>
        <v/>
      </c>
      <c r="K57">
        <f>IF(F57&lt;=G57,"REORDER","OK")</f>
        <v/>
      </c>
      <c r="L57" s="13">
        <f>ROUND(F57/MAX(H57,1)*30,0)</f>
        <v/>
      </c>
    </row>
    <row r="58">
      <c r="A58" t="inlineStr">
        <is>
          <t>SKU-1057</t>
        </is>
      </c>
      <c r="B58" t="inlineStr">
        <is>
          <t>Networking Item 57</t>
        </is>
      </c>
      <c r="C58" t="inlineStr">
        <is>
          <t>Networking</t>
        </is>
      </c>
      <c r="D58" t="inlineStr">
        <is>
          <t>DataCore Supply</t>
        </is>
      </c>
      <c r="E58" s="12" t="n">
        <v>39.83</v>
      </c>
      <c r="F58" s="13" t="n">
        <v>170</v>
      </c>
      <c r="G58" s="13" t="n">
        <v>69</v>
      </c>
      <c r="H58" s="13" t="n">
        <v>22</v>
      </c>
      <c r="I58" s="13" t="n">
        <v>19</v>
      </c>
      <c r="J58" s="12">
        <f>E58*F58</f>
        <v/>
      </c>
      <c r="K58">
        <f>IF(F58&lt;=G58,"REORDER","OK")</f>
        <v/>
      </c>
      <c r="L58" s="13">
        <f>ROUND(F58/MAX(H58,1)*30,0)</f>
        <v/>
      </c>
    </row>
    <row r="59">
      <c r="A59" t="inlineStr">
        <is>
          <t>SKU-1058</t>
        </is>
      </c>
      <c r="B59" t="inlineStr">
        <is>
          <t>Controller Item 58</t>
        </is>
      </c>
      <c r="C59" t="inlineStr">
        <is>
          <t>Controllers</t>
        </is>
      </c>
      <c r="D59" t="inlineStr">
        <is>
          <t>DataCore Supply</t>
        </is>
      </c>
      <c r="E59" s="12" t="n">
        <v>163.34</v>
      </c>
      <c r="F59" s="13" t="n">
        <v>21</v>
      </c>
      <c r="G59" s="13" t="n">
        <v>20</v>
      </c>
      <c r="H59" s="13" t="n">
        <v>46</v>
      </c>
      <c r="I59" s="13" t="n">
        <v>16</v>
      </c>
      <c r="J59" s="12">
        <f>E59*F59</f>
        <v/>
      </c>
      <c r="K59">
        <f>IF(F59&lt;=G59,"REORDER","OK")</f>
        <v/>
      </c>
      <c r="L59" s="13">
        <f>ROUND(F59/MAX(H59,1)*30,0)</f>
        <v/>
      </c>
    </row>
    <row r="60">
      <c r="A60" t="inlineStr">
        <is>
          <t>SKU-1059</t>
        </is>
      </c>
      <c r="B60" t="inlineStr">
        <is>
          <t>Sensor Item 59</t>
        </is>
      </c>
      <c r="C60" t="inlineStr">
        <is>
          <t>Sensors</t>
        </is>
      </c>
      <c r="D60" t="inlineStr">
        <is>
          <t>NovaTech</t>
        </is>
      </c>
      <c r="E60" s="12" t="n">
        <v>4.62</v>
      </c>
      <c r="F60" s="13" t="n">
        <v>205</v>
      </c>
      <c r="G60" s="13" t="n">
        <v>23</v>
      </c>
      <c r="H60" s="13" t="n">
        <v>46</v>
      </c>
      <c r="I60" s="13" t="n">
        <v>11</v>
      </c>
      <c r="J60" s="12">
        <f>E60*F60</f>
        <v/>
      </c>
      <c r="K60">
        <f>IF(F60&lt;=G60,"REORDER","OK")</f>
        <v/>
      </c>
      <c r="L60" s="13">
        <f>ROUND(F60/MAX(H60,1)*30,0)</f>
        <v/>
      </c>
    </row>
    <row r="61">
      <c r="A61" t="inlineStr">
        <is>
          <t>SKU-1060</t>
        </is>
      </c>
      <c r="B61" t="inlineStr">
        <is>
          <t>Switche Item 60</t>
        </is>
      </c>
      <c r="C61" t="inlineStr">
        <is>
          <t>Switches</t>
        </is>
      </c>
      <c r="D61" t="inlineStr">
        <is>
          <t>Omni Industrial</t>
        </is>
      </c>
      <c r="E61" s="12" t="n">
        <v>101.1</v>
      </c>
      <c r="F61" s="13" t="n">
        <v>117</v>
      </c>
      <c r="G61" s="13" t="n">
        <v>50</v>
      </c>
      <c r="H61" s="13" t="n">
        <v>6</v>
      </c>
      <c r="I61" s="13" t="n">
        <v>6</v>
      </c>
      <c r="J61" s="12">
        <f>E61*F61</f>
        <v/>
      </c>
      <c r="K61">
        <f>IF(F61&lt;=G61,"REORDER","OK")</f>
        <v/>
      </c>
      <c r="L61" s="13">
        <f>ROUND(F61/MAX(H61,1)*30,0)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4" customWidth="1" min="4" max="4"/>
  </cols>
  <sheetData>
    <row r="1">
      <c r="A1" s="14" t="inlineStr">
        <is>
          <t>Category</t>
        </is>
      </c>
      <c r="B1" s="14" t="inlineStr">
        <is>
          <t>Total Inventory Value</t>
        </is>
      </c>
      <c r="C1" s="14" t="inlineStr">
        <is>
          <t>Avg. Days of Stock</t>
        </is>
      </c>
      <c r="D1" s="14" t="inlineStr">
        <is>
          <t>Reorder Items</t>
        </is>
      </c>
    </row>
    <row r="2">
      <c r="A2" t="inlineStr">
        <is>
          <t>Cables</t>
        </is>
      </c>
      <c r="B2" s="12">
        <f>SUMIF(Raw_Data!C:C,A2,Raw_Data!J:J)</f>
        <v/>
      </c>
      <c r="C2" s="13">
        <f>AVERAGEIF(Raw_Data!C:C,A2,Raw_Data!L:L)</f>
        <v/>
      </c>
      <c r="D2">
        <f>COUNTIFS(Raw_Data!C:C,A2,Raw_Data!K:K,"REORDER")</f>
        <v/>
      </c>
    </row>
    <row r="3">
      <c r="A3" t="inlineStr">
        <is>
          <t>Switches</t>
        </is>
      </c>
      <c r="B3" s="12">
        <f>SUMIF(Raw_Data!C:C,A3,Raw_Data!J:J)</f>
        <v/>
      </c>
      <c r="C3" s="13">
        <f>AVERAGEIF(Raw_Data!C:C,A3,Raw_Data!L:L)</f>
        <v/>
      </c>
      <c r="D3">
        <f>COUNTIFS(Raw_Data!C:C,A3,Raw_Data!K:K,"REORDER")</f>
        <v/>
      </c>
    </row>
    <row r="4">
      <c r="A4" t="inlineStr">
        <is>
          <t>Sensors</t>
        </is>
      </c>
      <c r="B4" s="12">
        <f>SUMIF(Raw_Data!C:C,A4,Raw_Data!J:J)</f>
        <v/>
      </c>
      <c r="C4" s="13">
        <f>AVERAGEIF(Raw_Data!C:C,A4,Raw_Data!L:L)</f>
        <v/>
      </c>
      <c r="D4">
        <f>COUNTIFS(Raw_Data!C:C,A4,Raw_Data!K:K,"REORDER")</f>
        <v/>
      </c>
    </row>
    <row r="5">
      <c r="A5" t="inlineStr">
        <is>
          <t>Controllers</t>
        </is>
      </c>
      <c r="B5" s="12">
        <f>SUMIF(Raw_Data!C:C,A5,Raw_Data!J:J)</f>
        <v/>
      </c>
      <c r="C5" s="13">
        <f>AVERAGEIF(Raw_Data!C:C,A5,Raw_Data!L:L)</f>
        <v/>
      </c>
      <c r="D5">
        <f>COUNTIFS(Raw_Data!C:C,A5,Raw_Data!K:K,"REORDER")</f>
        <v/>
      </c>
    </row>
    <row r="6">
      <c r="A6" t="inlineStr">
        <is>
          <t>Power Supplies</t>
        </is>
      </c>
      <c r="B6" s="12">
        <f>SUMIF(Raw_Data!C:C,A6,Raw_Data!J:J)</f>
        <v/>
      </c>
      <c r="C6" s="13">
        <f>AVERAGEIF(Raw_Data!C:C,A6,Raw_Data!L:L)</f>
        <v/>
      </c>
      <c r="D6">
        <f>COUNTIFS(Raw_Data!C:C,A6,Raw_Data!K:K,"REORDER")</f>
        <v/>
      </c>
    </row>
    <row r="7">
      <c r="A7" t="inlineStr">
        <is>
          <t>Networking</t>
        </is>
      </c>
      <c r="B7" s="12">
        <f>SUMIF(Raw_Data!C:C,A7,Raw_Data!J:J)</f>
        <v/>
      </c>
      <c r="C7" s="13">
        <f>AVERAGEIF(Raw_Data!C:C,A7,Raw_Data!L:L)</f>
        <v/>
      </c>
      <c r="D7">
        <f>COUNTIFS(Raw_Data!C:C,A7,Raw_Data!K:K,"REORDER")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2026-03-30T00:46:58Z</dcterms:created>
  <dcterms:modified xmlns:dcterms="http://purl.org/dc/terms/" xmlns:xsi="http://www.w3.org/2001/XMLSchema-instance" xsi:type="dcterms:W3CDTF">2026-03-30T00:46:58Z</dcterms:modified>
</cp:coreProperties>
</file>